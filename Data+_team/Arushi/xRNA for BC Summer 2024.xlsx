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mwong/Dropbox/Duke/Bass Connections_2024-2025/Molecular Work_Summer2024/"/>
    </mc:Choice>
  </mc:AlternateContent>
  <xr:revisionPtr revIDLastSave="0" documentId="13_ncr:1_{B02831CD-9374-2144-88B7-B71D7D091CB2}" xr6:coauthVersionLast="47" xr6:coauthVersionMax="47" xr10:uidLastSave="{00000000-0000-0000-0000-000000000000}"/>
  <bookViews>
    <workbookView xWindow="2600" yWindow="1600" windowWidth="27640" windowHeight="16940" xr2:uid="{5CEFDC86-2AFE-3040-853A-1D6B6547772C}"/>
  </bookViews>
  <sheets>
    <sheet name="xRNA summary" sheetId="1" r:id="rId1"/>
    <sheet name="Dilutions" sheetId="2" r:id="rId2"/>
  </sheets>
  <definedNames>
    <definedName name="_xlnm.Print_Area" localSheetId="1">Dilutions!$A$1:$G$19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G2" i="2" s="1"/>
  <c r="E3" i="2"/>
  <c r="G3" i="2" s="1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</calcChain>
</file>

<file path=xl/sharedStrings.xml><?xml version="1.0" encoding="utf-8"?>
<sst xmlns="http://schemas.openxmlformats.org/spreadsheetml/2006/main" count="145" uniqueCount="55">
  <si>
    <t>DAF</t>
  </si>
  <si>
    <t>SJ</t>
  </si>
  <si>
    <t>Gill</t>
  </si>
  <si>
    <t>Sample_ID</t>
  </si>
  <si>
    <t>Location</t>
  </si>
  <si>
    <t>Date_Collected</t>
  </si>
  <si>
    <t>Genetic_strain</t>
  </si>
  <si>
    <t>Tissue_type</t>
  </si>
  <si>
    <t>RNA_nano_conc_ng/uL</t>
  </si>
  <si>
    <t>260/230</t>
  </si>
  <si>
    <t>260/280</t>
  </si>
  <si>
    <t>RNA_qubit_conc_ng/uL</t>
  </si>
  <si>
    <t>Date_Extracted</t>
  </si>
  <si>
    <t>No</t>
  </si>
  <si>
    <t>xRNA1</t>
  </si>
  <si>
    <t>RNA isolated from Bass Connections Oyster Summer 2024 samples, using Zymo Quick-RNA/DNA Miniprep Plus Kit</t>
  </si>
  <si>
    <t>CMT_SJ3_20Jun24_Gill</t>
  </si>
  <si>
    <t>CMT</t>
  </si>
  <si>
    <t>DAF_SJ2_20Aug24_Gill</t>
  </si>
  <si>
    <t>CMT_SJ1_22Jul24_Gill</t>
  </si>
  <si>
    <t>CMT_SJ3_19Aug24_Gill</t>
  </si>
  <si>
    <t>CMT_SJ2_20Jun24_Gill</t>
  </si>
  <si>
    <t>CMT_SJ3_22Jul24_Gill</t>
  </si>
  <si>
    <t>xRNA2</t>
  </si>
  <si>
    <t>xRNA3</t>
  </si>
  <si>
    <t>xRNA4</t>
  </si>
  <si>
    <t>xRNA5</t>
  </si>
  <si>
    <t>xRNA6</t>
  </si>
  <si>
    <t>xRNA7</t>
  </si>
  <si>
    <t>xRNA8</t>
  </si>
  <si>
    <t>CMT_SJ2_19Aug24_Gill</t>
  </si>
  <si>
    <t>DAF_SJ3_23Jul24_Gill</t>
  </si>
  <si>
    <t>DAF_SJ2_21Jun24_Gill</t>
  </si>
  <si>
    <t>DAF_SJ3_20Aug24_Gill</t>
  </si>
  <si>
    <t>xRNA9</t>
  </si>
  <si>
    <t>xRNA10</t>
  </si>
  <si>
    <t>xRNA11</t>
  </si>
  <si>
    <t>xRNA12</t>
  </si>
  <si>
    <t>CMT_SJ2_22Jul24_Gill</t>
  </si>
  <si>
    <t>DAF_SJ1_20Aug24_Gill</t>
  </si>
  <si>
    <t>CMT_SJ1_20Jun24_Gill</t>
  </si>
  <si>
    <t>CMT_SJ1_19Aug24_Gill</t>
  </si>
  <si>
    <t>DAF_SJ1_21Jun24_Gill</t>
  </si>
  <si>
    <t>DAF_SJ1_23Jul24_Gill</t>
  </si>
  <si>
    <t>xRNA13</t>
  </si>
  <si>
    <t>xRNA14</t>
  </si>
  <si>
    <t>xRNA15</t>
  </si>
  <si>
    <t>xRNA16</t>
  </si>
  <si>
    <t>xRNA17</t>
  </si>
  <si>
    <t>xRNA18</t>
  </si>
  <si>
    <t>DAF_SJ3_21Jun24_Gill</t>
  </si>
  <si>
    <t>DAF_SJ2_23Jul24_Gill</t>
  </si>
  <si>
    <t>RNA concentration after dilution (ng/uL)</t>
  </si>
  <si>
    <t>uL concentrated xRNA for &lt;20ng/uL in ~50uL</t>
  </si>
  <si>
    <t>Volume dH20 to add (uL)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</si>
</sst>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5" fontId="1" fillId="0" borderId="0" xfId="0" applyNumberFormat="1" applyFont="1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3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0" fillId="0" borderId="1" xfId="0" applyBorder="1"/>
    <xf numFmtId="15" fontId="1" fillId="0" borderId="1" xfId="0" applyNumberFormat="1" applyFont="1" applyBorder="1"/>
    <xf numFmtId="15" fontId="0" fillId="0" borderId="1" xfId="0" applyNumberFormat="1" applyBorder="1"/>
    <xf numFmtId="0" fontId="1" fillId="0" borderId="1" xfId="0" applyFont="1" applyBorder="1"/>
    <xf numFmtId="2" fontId="0" fillId="0" borderId="1" xfId="0" applyNumberFormat="1" applyBorder="1"/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B228-0B56-2F43-9075-D49FF81CAFD0}">
  <dimension ref="A1:K21"/>
  <sheetViews>
    <sheetView tabSelected="1" workbookViewId="0">
      <selection activeCell="C25" sqref="C25"/>
    </sheetView>
  </sheetViews>
  <sheetFormatPr baseColWidth="10" defaultRowHeight="16" x14ac:dyDescent="0.2"/>
  <cols>
    <col min="2" max="2" width="25.5" bestFit="1" customWidth="1"/>
    <col min="4" max="4" width="13.1640625" bestFit="1" customWidth="1"/>
    <col min="6" max="6" width="13.6640625" bestFit="1" customWidth="1"/>
    <col min="7" max="7" width="14" bestFit="1" customWidth="1"/>
    <col min="8" max="8" width="20.33203125" bestFit="1" customWidth="1"/>
    <col min="11" max="11" width="20.5" bestFit="1" customWidth="1"/>
  </cols>
  <sheetData>
    <row r="1" spans="1:11" x14ac:dyDescent="0.2">
      <c r="A1" s="5" t="s">
        <v>15</v>
      </c>
    </row>
    <row r="3" spans="1:11" x14ac:dyDescent="0.2">
      <c r="A3" s="5" t="s">
        <v>13</v>
      </c>
      <c r="B3" s="4" t="s">
        <v>3</v>
      </c>
      <c r="C3" s="4" t="s">
        <v>4</v>
      </c>
      <c r="D3" s="4" t="s">
        <v>6</v>
      </c>
      <c r="E3" s="4" t="s">
        <v>7</v>
      </c>
      <c r="F3" s="4" t="s">
        <v>5</v>
      </c>
      <c r="G3" s="4" t="s">
        <v>12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x14ac:dyDescent="0.2">
      <c r="A4" t="s">
        <v>14</v>
      </c>
      <c r="B4" s="1" t="s">
        <v>40</v>
      </c>
      <c r="C4" s="2" t="s">
        <v>17</v>
      </c>
      <c r="D4" s="2" t="s">
        <v>1</v>
      </c>
      <c r="E4" s="2" t="s">
        <v>2</v>
      </c>
      <c r="F4" s="1">
        <v>45463</v>
      </c>
      <c r="G4" s="3">
        <v>45907</v>
      </c>
      <c r="H4" s="2">
        <v>939</v>
      </c>
      <c r="I4" s="2">
        <v>2.2320000000000002</v>
      </c>
      <c r="J4" s="2">
        <v>2.1549999999999998</v>
      </c>
      <c r="K4" s="2">
        <v>692</v>
      </c>
    </row>
    <row r="5" spans="1:11" x14ac:dyDescent="0.2">
      <c r="A5" t="s">
        <v>23</v>
      </c>
      <c r="B5" s="1" t="s">
        <v>21</v>
      </c>
      <c r="C5" s="2" t="s">
        <v>17</v>
      </c>
      <c r="D5" s="2" t="s">
        <v>1</v>
      </c>
      <c r="E5" s="2" t="s">
        <v>2</v>
      </c>
      <c r="F5" s="1">
        <v>45463</v>
      </c>
      <c r="G5" s="3">
        <v>45872</v>
      </c>
      <c r="H5" s="2">
        <v>991</v>
      </c>
      <c r="I5" s="2">
        <v>2.1509999999999998</v>
      </c>
      <c r="J5" s="2">
        <v>2.1360000000000001</v>
      </c>
      <c r="K5" s="2">
        <v>738</v>
      </c>
    </row>
    <row r="6" spans="1:11" x14ac:dyDescent="0.2">
      <c r="A6" t="s">
        <v>24</v>
      </c>
      <c r="B6" s="1" t="s">
        <v>16</v>
      </c>
      <c r="C6" s="2" t="s">
        <v>17</v>
      </c>
      <c r="D6" s="2" t="s">
        <v>1</v>
      </c>
      <c r="E6" s="2" t="s">
        <v>2</v>
      </c>
      <c r="F6" s="3">
        <v>45463</v>
      </c>
      <c r="G6" s="3">
        <v>45872</v>
      </c>
      <c r="H6" s="2">
        <v>635</v>
      </c>
      <c r="I6" s="2">
        <v>2.1989999999999998</v>
      </c>
      <c r="J6" s="2">
        <v>2.1379999999999999</v>
      </c>
      <c r="K6" s="2">
        <v>562</v>
      </c>
    </row>
    <row r="7" spans="1:11" x14ac:dyDescent="0.2">
      <c r="A7" t="s">
        <v>25</v>
      </c>
      <c r="B7" s="1" t="s">
        <v>42</v>
      </c>
      <c r="C7" s="2" t="s">
        <v>0</v>
      </c>
      <c r="D7" s="2" t="s">
        <v>1</v>
      </c>
      <c r="E7" s="2" t="s">
        <v>2</v>
      </c>
      <c r="F7" s="1">
        <v>45464</v>
      </c>
      <c r="G7" s="3">
        <v>45907</v>
      </c>
      <c r="H7" s="2">
        <v>661</v>
      </c>
      <c r="I7" s="2">
        <v>2.0750000000000002</v>
      </c>
      <c r="J7" s="2">
        <v>2.0649999999999999</v>
      </c>
      <c r="K7" s="2">
        <v>400</v>
      </c>
    </row>
    <row r="8" spans="1:11" x14ac:dyDescent="0.2">
      <c r="A8" t="s">
        <v>26</v>
      </c>
      <c r="B8" s="1" t="s">
        <v>32</v>
      </c>
      <c r="C8" s="2" t="s">
        <v>0</v>
      </c>
      <c r="D8" s="2" t="s">
        <v>1</v>
      </c>
      <c r="E8" s="2" t="s">
        <v>2</v>
      </c>
      <c r="F8" s="1">
        <v>45464</v>
      </c>
      <c r="G8" s="3">
        <v>45900</v>
      </c>
      <c r="H8" s="2">
        <v>839</v>
      </c>
      <c r="I8" s="2">
        <v>2.089</v>
      </c>
      <c r="J8" s="2">
        <v>2.1320000000000001</v>
      </c>
      <c r="K8" s="2">
        <v>618</v>
      </c>
    </row>
    <row r="9" spans="1:11" x14ac:dyDescent="0.2">
      <c r="A9" t="s">
        <v>27</v>
      </c>
      <c r="B9" s="1" t="s">
        <v>50</v>
      </c>
      <c r="C9" s="2" t="s">
        <v>0</v>
      </c>
      <c r="D9" s="2" t="s">
        <v>1</v>
      </c>
      <c r="E9" s="2" t="s">
        <v>2</v>
      </c>
      <c r="F9" s="3">
        <v>45464</v>
      </c>
      <c r="G9" s="3">
        <v>45864</v>
      </c>
      <c r="H9" s="2">
        <v>1407</v>
      </c>
      <c r="I9" s="2">
        <v>2.0670000000000002</v>
      </c>
      <c r="J9" s="2">
        <v>2.1030000000000002</v>
      </c>
      <c r="K9" s="2">
        <v>1180</v>
      </c>
    </row>
    <row r="10" spans="1:11" x14ac:dyDescent="0.2">
      <c r="A10" t="s">
        <v>28</v>
      </c>
      <c r="B10" s="1" t="s">
        <v>19</v>
      </c>
      <c r="C10" s="2" t="s">
        <v>17</v>
      </c>
      <c r="D10" s="2" t="s">
        <v>1</v>
      </c>
      <c r="E10" s="2" t="s">
        <v>2</v>
      </c>
      <c r="F10" s="1">
        <v>45495</v>
      </c>
      <c r="G10" s="3">
        <v>45872</v>
      </c>
      <c r="H10" s="2">
        <v>447</v>
      </c>
      <c r="I10" s="2">
        <v>2.234</v>
      </c>
      <c r="J10" s="2">
        <v>2.1160000000000001</v>
      </c>
      <c r="K10" s="2">
        <v>390</v>
      </c>
    </row>
    <row r="11" spans="1:11" x14ac:dyDescent="0.2">
      <c r="A11" t="s">
        <v>29</v>
      </c>
      <c r="B11" s="1" t="s">
        <v>38</v>
      </c>
      <c r="C11" s="2" t="s">
        <v>17</v>
      </c>
      <c r="D11" s="2" t="s">
        <v>1</v>
      </c>
      <c r="E11" s="2" t="s">
        <v>2</v>
      </c>
      <c r="F11" s="3">
        <v>45495</v>
      </c>
      <c r="G11" s="3">
        <v>45907</v>
      </c>
      <c r="H11" s="2">
        <v>327</v>
      </c>
      <c r="I11" s="2">
        <v>2.2000000000000002</v>
      </c>
      <c r="J11" s="2">
        <v>2.11</v>
      </c>
      <c r="K11" s="2">
        <v>264</v>
      </c>
    </row>
    <row r="12" spans="1:11" x14ac:dyDescent="0.2">
      <c r="A12" t="s">
        <v>34</v>
      </c>
      <c r="B12" s="1" t="s">
        <v>22</v>
      </c>
      <c r="C12" s="2" t="s">
        <v>17</v>
      </c>
      <c r="D12" s="2" t="s">
        <v>1</v>
      </c>
      <c r="E12" s="2" t="s">
        <v>2</v>
      </c>
      <c r="F12" s="1">
        <v>45495</v>
      </c>
      <c r="G12" s="3">
        <v>45872</v>
      </c>
      <c r="H12" s="2">
        <v>648</v>
      </c>
      <c r="I12" s="2">
        <v>2.19</v>
      </c>
      <c r="J12" s="2">
        <v>2.1280000000000001</v>
      </c>
      <c r="K12" s="2">
        <v>546</v>
      </c>
    </row>
    <row r="13" spans="1:11" x14ac:dyDescent="0.2">
      <c r="A13" t="s">
        <v>35</v>
      </c>
      <c r="B13" s="1" t="s">
        <v>43</v>
      </c>
      <c r="C13" s="2" t="s">
        <v>0</v>
      </c>
      <c r="D13" s="2" t="s">
        <v>1</v>
      </c>
      <c r="E13" s="2" t="s">
        <v>2</v>
      </c>
      <c r="F13" s="1">
        <v>45496</v>
      </c>
      <c r="G13" s="3">
        <v>45907</v>
      </c>
      <c r="H13" s="2">
        <v>720</v>
      </c>
      <c r="I13" s="2">
        <v>2.2469999999999999</v>
      </c>
      <c r="J13" s="2">
        <v>2.1389999999999998</v>
      </c>
      <c r="K13" s="2">
        <v>518</v>
      </c>
    </row>
    <row r="14" spans="1:11" x14ac:dyDescent="0.2">
      <c r="A14" t="s">
        <v>36</v>
      </c>
      <c r="B14" s="1" t="s">
        <v>51</v>
      </c>
      <c r="C14" s="2" t="s">
        <v>0</v>
      </c>
      <c r="D14" s="2" t="s">
        <v>1</v>
      </c>
      <c r="E14" s="2" t="s">
        <v>2</v>
      </c>
      <c r="F14" s="1">
        <v>45496</v>
      </c>
      <c r="G14" s="3">
        <v>45864</v>
      </c>
      <c r="H14" s="2">
        <v>1149</v>
      </c>
      <c r="I14" s="2">
        <v>2.36</v>
      </c>
      <c r="J14" s="2">
        <v>2.1589999999999998</v>
      </c>
      <c r="K14" s="2">
        <v>1000</v>
      </c>
    </row>
    <row r="15" spans="1:11" x14ac:dyDescent="0.2">
      <c r="A15" t="s">
        <v>37</v>
      </c>
      <c r="B15" s="1" t="s">
        <v>31</v>
      </c>
      <c r="C15" s="2" t="s">
        <v>0</v>
      </c>
      <c r="D15" s="2" t="s">
        <v>1</v>
      </c>
      <c r="E15" s="2" t="s">
        <v>2</v>
      </c>
      <c r="F15" s="1">
        <v>45496</v>
      </c>
      <c r="G15" s="3">
        <v>45900</v>
      </c>
      <c r="H15" s="2">
        <v>747</v>
      </c>
      <c r="I15" s="2">
        <v>2.198</v>
      </c>
      <c r="J15" s="2">
        <v>2.13</v>
      </c>
      <c r="K15" s="2">
        <v>576</v>
      </c>
    </row>
    <row r="16" spans="1:11" x14ac:dyDescent="0.2">
      <c r="A16" t="s">
        <v>44</v>
      </c>
      <c r="B16" s="1" t="s">
        <v>41</v>
      </c>
      <c r="C16" s="2" t="s">
        <v>17</v>
      </c>
      <c r="D16" s="2" t="s">
        <v>1</v>
      </c>
      <c r="E16" s="2" t="s">
        <v>2</v>
      </c>
      <c r="F16" s="1">
        <v>45523</v>
      </c>
      <c r="G16" s="3">
        <v>45907</v>
      </c>
      <c r="H16" s="2">
        <v>717</v>
      </c>
      <c r="I16" s="2">
        <v>2.1909999999999998</v>
      </c>
      <c r="J16" s="2">
        <v>2.1150000000000002</v>
      </c>
      <c r="K16" s="2">
        <v>474</v>
      </c>
    </row>
    <row r="17" spans="1:11" x14ac:dyDescent="0.2">
      <c r="A17" t="s">
        <v>45</v>
      </c>
      <c r="B17" s="1" t="s">
        <v>30</v>
      </c>
      <c r="C17" s="2" t="s">
        <v>17</v>
      </c>
      <c r="D17" s="2" t="s">
        <v>1</v>
      </c>
      <c r="E17" s="2" t="s">
        <v>2</v>
      </c>
      <c r="F17" s="3">
        <v>45523</v>
      </c>
      <c r="G17" s="3">
        <v>45900</v>
      </c>
      <c r="H17" s="2">
        <v>214</v>
      </c>
      <c r="I17" s="2">
        <v>2.0030000000000001</v>
      </c>
      <c r="J17" s="2">
        <v>2.109</v>
      </c>
      <c r="K17" s="2">
        <v>188</v>
      </c>
    </row>
    <row r="18" spans="1:11" x14ac:dyDescent="0.2">
      <c r="A18" t="s">
        <v>46</v>
      </c>
      <c r="B18" s="1" t="s">
        <v>20</v>
      </c>
      <c r="C18" s="2" t="s">
        <v>17</v>
      </c>
      <c r="D18" s="2" t="s">
        <v>1</v>
      </c>
      <c r="E18" s="2" t="s">
        <v>2</v>
      </c>
      <c r="F18" s="1">
        <v>45523</v>
      </c>
      <c r="G18" s="3">
        <v>45872</v>
      </c>
      <c r="H18" s="2">
        <v>893</v>
      </c>
      <c r="I18" s="2">
        <v>2.2069999999999999</v>
      </c>
      <c r="J18" s="2">
        <v>2.1509999999999998</v>
      </c>
      <c r="K18" s="2">
        <v>694</v>
      </c>
    </row>
    <row r="19" spans="1:11" x14ac:dyDescent="0.2">
      <c r="A19" t="s">
        <v>47</v>
      </c>
      <c r="B19" s="1" t="s">
        <v>39</v>
      </c>
      <c r="C19" s="2" t="s">
        <v>0</v>
      </c>
      <c r="D19" s="2" t="s">
        <v>1</v>
      </c>
      <c r="E19" s="2" t="s">
        <v>2</v>
      </c>
      <c r="F19" s="1">
        <v>45524</v>
      </c>
      <c r="G19" s="3">
        <v>45907</v>
      </c>
      <c r="H19" s="2">
        <v>971</v>
      </c>
      <c r="I19" s="2">
        <v>2.2229999999999999</v>
      </c>
      <c r="J19" s="2">
        <v>2.093</v>
      </c>
      <c r="K19" s="2">
        <v>572</v>
      </c>
    </row>
    <row r="20" spans="1:11" x14ac:dyDescent="0.2">
      <c r="A20" t="s">
        <v>48</v>
      </c>
      <c r="B20" s="1" t="s">
        <v>18</v>
      </c>
      <c r="C20" s="2" t="s">
        <v>0</v>
      </c>
      <c r="D20" s="2" t="s">
        <v>1</v>
      </c>
      <c r="E20" s="2" t="s">
        <v>2</v>
      </c>
      <c r="F20" s="1">
        <v>45524</v>
      </c>
      <c r="G20" s="3">
        <v>45872</v>
      </c>
      <c r="H20" s="2">
        <v>866</v>
      </c>
      <c r="I20" s="2">
        <v>2.2330000000000001</v>
      </c>
      <c r="J20" s="2">
        <v>2.1389999999999998</v>
      </c>
      <c r="K20" s="2">
        <v>618</v>
      </c>
    </row>
    <row r="21" spans="1:11" x14ac:dyDescent="0.2">
      <c r="A21" t="s">
        <v>49</v>
      </c>
      <c r="B21" s="1" t="s">
        <v>33</v>
      </c>
      <c r="C21" s="2" t="s">
        <v>0</v>
      </c>
      <c r="D21" s="2" t="s">
        <v>1</v>
      </c>
      <c r="E21" s="2" t="s">
        <v>2</v>
      </c>
      <c r="F21" s="1">
        <v>45524</v>
      </c>
      <c r="G21" s="3">
        <v>45900</v>
      </c>
      <c r="H21" s="2">
        <v>741</v>
      </c>
      <c r="I21" s="2">
        <v>2.242</v>
      </c>
      <c r="J21" s="2">
        <v>2.137</v>
      </c>
      <c r="K21" s="2">
        <v>524</v>
      </c>
    </row>
  </sheetData>
  <sortState xmlns:xlrd2="http://schemas.microsoft.com/office/spreadsheetml/2017/richdata2" ref="A4:K21">
    <sortCondition ref="F4:F21"/>
    <sortCondition ref="B4:B21"/>
  </sortState>
  <phoneticPr fontId="4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49D6-2573-3844-9626-6A3010439D2F}">
  <dimension ref="A1:H19"/>
  <sheetViews>
    <sheetView workbookViewId="0">
      <selection activeCell="F24" sqref="F24"/>
    </sheetView>
  </sheetViews>
  <sheetFormatPr baseColWidth="10" defaultRowHeight="16" x14ac:dyDescent="0.2"/>
  <cols>
    <col min="2" max="2" width="20.6640625" bestFit="1" customWidth="1"/>
    <col min="3" max="3" width="14" bestFit="1" customWidth="1"/>
    <col min="4" max="4" width="10.6640625" customWidth="1"/>
    <col min="5" max="5" width="14.6640625" customWidth="1"/>
    <col min="6" max="6" width="15.33203125" customWidth="1"/>
    <col min="7" max="7" width="17.1640625" customWidth="1"/>
    <col min="8" max="8" width="24.83203125" bestFit="1" customWidth="1"/>
  </cols>
  <sheetData>
    <row r="1" spans="1:8" s="7" customFormat="1" ht="51" x14ac:dyDescent="0.2">
      <c r="A1" s="8" t="s">
        <v>13</v>
      </c>
      <c r="B1" s="9" t="s">
        <v>3</v>
      </c>
      <c r="C1" s="9" t="s">
        <v>12</v>
      </c>
      <c r="D1" s="9" t="s">
        <v>11</v>
      </c>
      <c r="E1" s="9" t="s">
        <v>53</v>
      </c>
      <c r="F1" s="9" t="s">
        <v>54</v>
      </c>
      <c r="G1" s="9" t="s">
        <v>52</v>
      </c>
      <c r="H1" s="6"/>
    </row>
    <row r="2" spans="1:8" x14ac:dyDescent="0.2">
      <c r="A2" s="10" t="s">
        <v>14</v>
      </c>
      <c r="B2" s="11" t="s">
        <v>40</v>
      </c>
      <c r="C2" s="12">
        <v>45907</v>
      </c>
      <c r="D2" s="13">
        <v>692</v>
      </c>
      <c r="E2" s="15">
        <f>(20*50)/D2</f>
        <v>1.4450867052023122</v>
      </c>
      <c r="F2" s="14">
        <v>50</v>
      </c>
      <c r="G2" s="14">
        <f>(D2*E2)/(50+E2)</f>
        <v>19.438202247191011</v>
      </c>
    </row>
    <row r="3" spans="1:8" x14ac:dyDescent="0.2">
      <c r="A3" s="10" t="s">
        <v>23</v>
      </c>
      <c r="B3" s="11" t="s">
        <v>21</v>
      </c>
      <c r="C3" s="12">
        <v>45872</v>
      </c>
      <c r="D3" s="13">
        <v>738</v>
      </c>
      <c r="E3" s="15">
        <f t="shared" ref="E3:E19" si="0">(20*50)/D3</f>
        <v>1.3550135501355014</v>
      </c>
      <c r="F3" s="14">
        <v>50</v>
      </c>
      <c r="G3" s="14">
        <f t="shared" ref="G3:G19" si="1">(D3*E3)/(50+E3)</f>
        <v>19.472295514511874</v>
      </c>
    </row>
    <row r="4" spans="1:8" x14ac:dyDescent="0.2">
      <c r="A4" s="10" t="s">
        <v>24</v>
      </c>
      <c r="B4" s="11" t="s">
        <v>16</v>
      </c>
      <c r="C4" s="12">
        <v>45872</v>
      </c>
      <c r="D4" s="13">
        <v>562</v>
      </c>
      <c r="E4" s="15">
        <f t="shared" si="0"/>
        <v>1.7793594306049823</v>
      </c>
      <c r="F4" s="14">
        <v>50</v>
      </c>
      <c r="G4" s="14">
        <f t="shared" si="1"/>
        <v>19.312714776632301</v>
      </c>
    </row>
    <row r="5" spans="1:8" x14ac:dyDescent="0.2">
      <c r="A5" s="10" t="s">
        <v>25</v>
      </c>
      <c r="B5" s="11" t="s">
        <v>42</v>
      </c>
      <c r="C5" s="12">
        <v>45907</v>
      </c>
      <c r="D5" s="13">
        <v>400</v>
      </c>
      <c r="E5" s="15">
        <f t="shared" si="0"/>
        <v>2.5</v>
      </c>
      <c r="F5" s="14">
        <v>50</v>
      </c>
      <c r="G5" s="14">
        <f t="shared" si="1"/>
        <v>19.047619047619047</v>
      </c>
    </row>
    <row r="6" spans="1:8" x14ac:dyDescent="0.2">
      <c r="A6" s="10" t="s">
        <v>26</v>
      </c>
      <c r="B6" s="11" t="s">
        <v>32</v>
      </c>
      <c r="C6" s="12">
        <v>45900</v>
      </c>
      <c r="D6" s="13">
        <v>618</v>
      </c>
      <c r="E6" s="15">
        <f t="shared" si="0"/>
        <v>1.6181229773462784</v>
      </c>
      <c r="F6" s="14">
        <v>50</v>
      </c>
      <c r="G6" s="14">
        <f t="shared" si="1"/>
        <v>19.373040752351098</v>
      </c>
    </row>
    <row r="7" spans="1:8" x14ac:dyDescent="0.2">
      <c r="A7" s="10" t="s">
        <v>27</v>
      </c>
      <c r="B7" s="11" t="s">
        <v>50</v>
      </c>
      <c r="C7" s="12">
        <v>45864</v>
      </c>
      <c r="D7" s="13">
        <v>1180</v>
      </c>
      <c r="E7" s="15">
        <f t="shared" si="0"/>
        <v>0.84745762711864403</v>
      </c>
      <c r="F7" s="14">
        <v>50</v>
      </c>
      <c r="G7" s="14">
        <f t="shared" si="1"/>
        <v>19.666666666666668</v>
      </c>
    </row>
    <row r="8" spans="1:8" x14ac:dyDescent="0.2">
      <c r="A8" s="10" t="s">
        <v>28</v>
      </c>
      <c r="B8" s="11" t="s">
        <v>19</v>
      </c>
      <c r="C8" s="12">
        <v>45872</v>
      </c>
      <c r="D8" s="13">
        <v>390</v>
      </c>
      <c r="E8" s="15">
        <f t="shared" si="0"/>
        <v>2.5641025641025643</v>
      </c>
      <c r="F8" s="14">
        <v>50</v>
      </c>
      <c r="G8" s="14">
        <f t="shared" si="1"/>
        <v>19.024390243902442</v>
      </c>
    </row>
    <row r="9" spans="1:8" x14ac:dyDescent="0.2">
      <c r="A9" s="10" t="s">
        <v>29</v>
      </c>
      <c r="B9" s="11" t="s">
        <v>38</v>
      </c>
      <c r="C9" s="12">
        <v>45907</v>
      </c>
      <c r="D9" s="13">
        <v>264</v>
      </c>
      <c r="E9" s="15">
        <f t="shared" si="0"/>
        <v>3.7878787878787881</v>
      </c>
      <c r="F9" s="14">
        <v>50</v>
      </c>
      <c r="G9" s="14">
        <f t="shared" si="1"/>
        <v>18.591549295774648</v>
      </c>
    </row>
    <row r="10" spans="1:8" x14ac:dyDescent="0.2">
      <c r="A10" s="10" t="s">
        <v>34</v>
      </c>
      <c r="B10" s="11" t="s">
        <v>22</v>
      </c>
      <c r="C10" s="12">
        <v>45872</v>
      </c>
      <c r="D10" s="13">
        <v>546</v>
      </c>
      <c r="E10" s="15">
        <f t="shared" si="0"/>
        <v>1.8315018315018314</v>
      </c>
      <c r="F10" s="14">
        <v>50</v>
      </c>
      <c r="G10" s="14">
        <f t="shared" si="1"/>
        <v>19.293286219081271</v>
      </c>
    </row>
    <row r="11" spans="1:8" x14ac:dyDescent="0.2">
      <c r="A11" s="10" t="s">
        <v>35</v>
      </c>
      <c r="B11" s="11" t="s">
        <v>43</v>
      </c>
      <c r="C11" s="12">
        <v>45907</v>
      </c>
      <c r="D11" s="13">
        <v>518</v>
      </c>
      <c r="E11" s="15">
        <f t="shared" si="0"/>
        <v>1.9305019305019304</v>
      </c>
      <c r="F11" s="14">
        <v>50</v>
      </c>
      <c r="G11" s="14">
        <f t="shared" si="1"/>
        <v>19.256505576208177</v>
      </c>
    </row>
    <row r="12" spans="1:8" x14ac:dyDescent="0.2">
      <c r="A12" s="10" t="s">
        <v>36</v>
      </c>
      <c r="B12" s="11" t="s">
        <v>51</v>
      </c>
      <c r="C12" s="12">
        <v>45864</v>
      </c>
      <c r="D12" s="13">
        <v>1000</v>
      </c>
      <c r="E12" s="15">
        <f t="shared" si="0"/>
        <v>1</v>
      </c>
      <c r="F12" s="14">
        <v>50</v>
      </c>
      <c r="G12" s="14">
        <f t="shared" si="1"/>
        <v>19.607843137254903</v>
      </c>
    </row>
    <row r="13" spans="1:8" x14ac:dyDescent="0.2">
      <c r="A13" s="10" t="s">
        <v>37</v>
      </c>
      <c r="B13" s="11" t="s">
        <v>31</v>
      </c>
      <c r="C13" s="12">
        <v>45900</v>
      </c>
      <c r="D13" s="13">
        <v>576</v>
      </c>
      <c r="E13" s="15">
        <f t="shared" si="0"/>
        <v>1.7361111111111112</v>
      </c>
      <c r="F13" s="14">
        <v>50</v>
      </c>
      <c r="G13" s="14">
        <f t="shared" si="1"/>
        <v>19.328859060402685</v>
      </c>
    </row>
    <row r="14" spans="1:8" x14ac:dyDescent="0.2">
      <c r="A14" s="10" t="s">
        <v>44</v>
      </c>
      <c r="B14" s="11" t="s">
        <v>41</v>
      </c>
      <c r="C14" s="12">
        <v>45907</v>
      </c>
      <c r="D14" s="13">
        <v>474</v>
      </c>
      <c r="E14" s="15">
        <f t="shared" si="0"/>
        <v>2.109704641350211</v>
      </c>
      <c r="F14" s="14">
        <v>50</v>
      </c>
      <c r="G14" s="14">
        <f t="shared" si="1"/>
        <v>19.190283400809715</v>
      </c>
    </row>
    <row r="15" spans="1:8" x14ac:dyDescent="0.2">
      <c r="A15" s="10" t="s">
        <v>45</v>
      </c>
      <c r="B15" s="11" t="s">
        <v>30</v>
      </c>
      <c r="C15" s="12">
        <v>45900</v>
      </c>
      <c r="D15" s="13">
        <v>188</v>
      </c>
      <c r="E15" s="15">
        <f t="shared" si="0"/>
        <v>5.3191489361702127</v>
      </c>
      <c r="F15" s="14">
        <v>50</v>
      </c>
      <c r="G15" s="14">
        <f t="shared" si="1"/>
        <v>18.076923076923077</v>
      </c>
    </row>
    <row r="16" spans="1:8" x14ac:dyDescent="0.2">
      <c r="A16" s="10" t="s">
        <v>46</v>
      </c>
      <c r="B16" s="11" t="s">
        <v>20</v>
      </c>
      <c r="C16" s="12">
        <v>45872</v>
      </c>
      <c r="D16" s="13">
        <v>694</v>
      </c>
      <c r="E16" s="15">
        <f t="shared" si="0"/>
        <v>1.4409221902017291</v>
      </c>
      <c r="F16" s="14">
        <v>50</v>
      </c>
      <c r="G16" s="14">
        <f t="shared" si="1"/>
        <v>19.439775910364144</v>
      </c>
    </row>
    <row r="17" spans="1:7" x14ac:dyDescent="0.2">
      <c r="A17" s="10" t="s">
        <v>47</v>
      </c>
      <c r="B17" s="11" t="s">
        <v>39</v>
      </c>
      <c r="C17" s="12">
        <v>45907</v>
      </c>
      <c r="D17" s="13">
        <v>572</v>
      </c>
      <c r="E17" s="15">
        <f t="shared" si="0"/>
        <v>1.7482517482517483</v>
      </c>
      <c r="F17" s="14">
        <v>50</v>
      </c>
      <c r="G17" s="14">
        <f t="shared" si="1"/>
        <v>19.324324324324326</v>
      </c>
    </row>
    <row r="18" spans="1:7" x14ac:dyDescent="0.2">
      <c r="A18" s="10" t="s">
        <v>48</v>
      </c>
      <c r="B18" s="11" t="s">
        <v>18</v>
      </c>
      <c r="C18" s="12">
        <v>45872</v>
      </c>
      <c r="D18" s="13">
        <v>618</v>
      </c>
      <c r="E18" s="15">
        <f t="shared" si="0"/>
        <v>1.6181229773462784</v>
      </c>
      <c r="F18" s="14">
        <v>50</v>
      </c>
      <c r="G18" s="14">
        <f t="shared" si="1"/>
        <v>19.373040752351098</v>
      </c>
    </row>
    <row r="19" spans="1:7" x14ac:dyDescent="0.2">
      <c r="A19" s="10" t="s">
        <v>49</v>
      </c>
      <c r="B19" s="11" t="s">
        <v>33</v>
      </c>
      <c r="C19" s="12">
        <v>45900</v>
      </c>
      <c r="D19" s="13">
        <v>524</v>
      </c>
      <c r="E19" s="15">
        <f t="shared" si="0"/>
        <v>1.9083969465648856</v>
      </c>
      <c r="F19" s="14">
        <v>50</v>
      </c>
      <c r="G19" s="14">
        <f t="shared" si="1"/>
        <v>19.264705882352942</v>
      </c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xRNA summary</vt:lpstr>
      <vt:lpstr>Dilutions</vt:lpstr>
      <vt:lpstr>Dilutions!Print_Area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Wong, Ph.D.</dc:creator>
  <cp:lastModifiedBy>Juliet Wong, Ph.D.</cp:lastModifiedBy>
  <cp:lastPrinted>2025-10-11T15:20:17Z</cp:lastPrinted>
  <dcterms:created xsi:type="dcterms:W3CDTF">2025-09-18T16:28:20Z</dcterms:created>
  <dcterms:modified xsi:type="dcterms:W3CDTF">2026-01-22T15:50:28Z</dcterms:modified>
</cp:coreProperties>
</file>